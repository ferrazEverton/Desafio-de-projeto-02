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Peres\Desktop\everton\boot Camp RECLAME AQUI\desafio de projeto 2\"/>
    </mc:Choice>
  </mc:AlternateContent>
  <xr:revisionPtr revIDLastSave="0" documentId="13_ncr:1_{EA517BB4-2C1A-4B46-B630-FEFB7907C64A}" xr6:coauthVersionLast="47" xr6:coauthVersionMax="47" xr10:uidLastSave="{00000000-0000-0000-0000-000000000000}"/>
  <bookViews>
    <workbookView xWindow="-120" yWindow="-120" windowWidth="29040" windowHeight="15720" tabRatio="0" firstSheet="2" activeTab="2" xr2:uid="{BF9AC163-3482-44E0-B3F0-B1D7D1F235BB}"/>
  </bookViews>
  <sheets>
    <sheet name="Titular" sheetId="10" r:id="rId1"/>
    <sheet name="Informes" sheetId="1" r:id="rId2"/>
    <sheet name="Notas" sheetId="11" r:id="rId3"/>
    <sheet name="Tabelas" sheetId="12" state="hidden" r:id="rId4"/>
  </sheets>
  <definedNames>
    <definedName name="_xlnm._FilterDatabase" localSheetId="2" hidden="1">Notas!$C$35:$C$38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1" l="1"/>
  <c r="D36" i="11"/>
  <c r="E31" i="11" s="1"/>
  <c r="D37" i="11"/>
  <c r="D38" i="11"/>
  <c r="C8" i="1" l="1"/>
</calcChain>
</file>

<file path=xl/sharedStrings.xml><?xml version="1.0" encoding="utf-8"?>
<sst xmlns="http://schemas.openxmlformats.org/spreadsheetml/2006/main" count="109" uniqueCount="92">
  <si>
    <t>Nome</t>
  </si>
  <si>
    <t>CPF</t>
  </si>
  <si>
    <t>Titulo de Eleitor</t>
  </si>
  <si>
    <t>Conjuge</t>
  </si>
  <si>
    <t>CEP</t>
  </si>
  <si>
    <t>Telefone</t>
  </si>
  <si>
    <t>Celular</t>
  </si>
  <si>
    <t>E-MAIL</t>
  </si>
  <si>
    <t>Houve alteraçoes da declaração anterior</t>
  </si>
  <si>
    <t>Residente do Exterior</t>
  </si>
  <si>
    <t>dependente cônjuge</t>
  </si>
  <si>
    <t>1. Dados do Títular</t>
  </si>
  <si>
    <t>Preencha seus dados abaixo:</t>
  </si>
  <si>
    <t>Sim</t>
  </si>
  <si>
    <t>Não</t>
  </si>
  <si>
    <t>Everton Ferraz</t>
  </si>
  <si>
    <t>Endereço</t>
  </si>
  <si>
    <t>Geise Peres</t>
  </si>
  <si>
    <t>2. Informes de Rendimentos</t>
  </si>
  <si>
    <t>Preencha seus dados atuais de cada banco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</si>
  <si>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</si>
  <si>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</si>
  <si>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</si>
  <si>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</si>
  <si>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</si>
  <si>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</si>
  <si>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</si>
  <si>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</si>
  <si>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</si>
  <si>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</si>
  <si>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</si>
  <si>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</si>
  <si>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</si>
  <si>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</si>
  <si>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</si>
  <si>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</si>
  <si>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</si>
  <si>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</si>
  <si>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</si>
  <si>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</si>
  <si>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</si>
  <si>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</si>
  <si>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</si>
  <si>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</si>
  <si>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</si>
  <si>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</si>
  <si>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</si>
  <si>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</si>
  <si>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</si>
  <si>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</si>
  <si>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</si>
  <si>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</si>
  <si>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</si>
  <si>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</si>
  <si>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</si>
  <si>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</si>
  <si>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</si>
  <si>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</si>
  <si>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</si>
  <si>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</si>
  <si>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</si>
  <si>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</si>
  <si>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</si>
  <si>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</si>
  <si>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</si>
  <si>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</si>
  <si>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</si>
  <si>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</si>
  <si>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</si>
  <si>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</si>
  <si>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</si>
  <si>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</si>
  <si>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</si>
  <si>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</si>
  <si>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1 º Banco</t>
  </si>
  <si>
    <t>TOTAL</t>
  </si>
  <si>
    <t>2 º Banco</t>
  </si>
  <si>
    <t>3º Banco</t>
  </si>
  <si>
    <t>3.Notas bancárias ou extrato de holerites</t>
  </si>
  <si>
    <t>São todos os valores de entrada mês a mês de receita</t>
  </si>
  <si>
    <t>Entradas</t>
  </si>
  <si>
    <t xml:space="preserve">Data </t>
  </si>
  <si>
    <t>Categoria</t>
  </si>
  <si>
    <t>Valor</t>
  </si>
  <si>
    <t>freelance</t>
  </si>
  <si>
    <t>Holerite</t>
  </si>
  <si>
    <t xml:space="preserve">rua silvio calegari , n 115 , </t>
  </si>
  <si>
    <t>ferrazever65465@gmail.com</t>
  </si>
  <si>
    <t>Cnpj</t>
  </si>
  <si>
    <t>Subtotal por origem</t>
  </si>
  <si>
    <t>Freelance</t>
  </si>
  <si>
    <t>Total De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</si>
</sst>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&quot;.&quot;0000&quot;.&quot;0000"/>
    <numFmt numFmtId="166" formatCode="00&quot;.&quot;000&quot;-&quot;000"/>
    <numFmt numFmtId="167" formatCode="&quot;(&quot;00&quot;)&quot;0&quot; &quot;0000&quot;-&quot;0000"/>
    <numFmt numFmtId="168" formatCode="&quot;R$&quot;\ #,##0.00"/>
    <numFmt numFmtId="169" formatCode="[$-F800]dddd\,\ mmmm\ dd\,\ yyyy"/>
    <numFmt numFmtId="170" formatCode="mmmm\,\ yyyy;@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Segoe UI Variable Display Semil"/>
    </font>
    <font>
      <b/>
      <i/>
      <sz val="15"/>
      <color rgb="FF16376B"/>
      <name val="Segoe UI Semibold"/>
      <family val="2"/>
    </font>
    <font>
      <b/>
      <i/>
      <sz val="16"/>
      <color rgb="FF16376B"/>
      <name val="Segoe UI Semibold"/>
      <family val="2"/>
    </font>
    <font>
      <b/>
      <i/>
      <sz val="18"/>
      <color rgb="FF16376B"/>
      <name val="Segoe UI Semibold"/>
      <family val="2"/>
    </font>
    <font>
      <i/>
      <sz val="10"/>
      <color theme="1"/>
      <name val="Segoe UI Semilight"/>
      <family val="2"/>
    </font>
    <font>
      <i/>
      <u/>
      <sz val="11"/>
      <color theme="10"/>
      <name val="Segoe UI Variable Display Semil"/>
    </font>
    <font>
      <i/>
      <sz val="8"/>
      <color theme="1"/>
      <name val="Segoe UI Variable Display Semil"/>
    </font>
    <font>
      <b/>
      <i/>
      <sz val="12"/>
      <color theme="1"/>
      <name val="Segoe UI Semilight"/>
      <family val="2"/>
    </font>
    <font>
      <b/>
      <i/>
      <sz val="12"/>
      <name val="Segoe UI Semilight"/>
      <family val="2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E3264"/>
        <bgColor indexed="64"/>
      </patternFill>
    </fill>
    <fill>
      <patternFill patternType="solid">
        <fgColor rgb="FFE8F1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B0D4F5"/>
      </top>
      <bottom style="thin">
        <color rgb="FFB0D4F5"/>
      </bottom>
      <diagonal/>
    </border>
    <border>
      <left/>
      <right/>
      <top/>
      <bottom style="thick">
        <color rgb="FFB0D4F5"/>
      </bottom>
      <diagonal/>
    </border>
    <border>
      <left/>
      <right/>
      <top style="thick">
        <color rgb="FFB0D4F5"/>
      </top>
      <bottom/>
      <diagonal/>
    </border>
    <border>
      <left style="thin">
        <color theme="4"/>
      </left>
      <right/>
      <top style="thick">
        <color rgb="FFB0D4F5"/>
      </top>
      <bottom/>
      <diagonal/>
    </border>
    <border>
      <left style="thin">
        <color rgb="FF3B7DDD"/>
      </left>
      <right/>
      <top style="thin">
        <color rgb="FF3B7DDD"/>
      </top>
      <bottom style="thin">
        <color rgb="FF3B7DDD"/>
      </bottom>
      <diagonal/>
    </border>
    <border>
      <left/>
      <right style="thin">
        <color rgb="FF3B7DDD"/>
      </right>
      <top style="thin">
        <color rgb="FF3B7DDD"/>
      </top>
      <bottom style="thin">
        <color rgb="FF3B7DDD"/>
      </bottom>
      <diagonal/>
    </border>
    <border>
      <left/>
      <right/>
      <top/>
      <bottom style="medium">
        <color rgb="FFB0D4F5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2" xfId="0" applyFont="1" applyBorder="1"/>
    <xf numFmtId="0" fontId="4" fillId="0" borderId="3" xfId="1" applyFont="1" applyBorder="1"/>
    <xf numFmtId="0" fontId="5" fillId="0" borderId="3" xfId="1" applyFont="1" applyBorder="1"/>
    <xf numFmtId="0" fontId="6" fillId="0" borderId="3" xfId="1" applyFont="1" applyBorder="1"/>
    <xf numFmtId="0" fontId="9" fillId="0" borderId="0" xfId="0" applyFont="1"/>
    <xf numFmtId="2" fontId="0" fillId="0" borderId="0" xfId="0" applyNumberFormat="1"/>
    <xf numFmtId="169" fontId="0" fillId="0" borderId="0" xfId="0" applyNumberFormat="1"/>
    <xf numFmtId="44" fontId="0" fillId="0" borderId="0" xfId="0" applyNumberFormat="1"/>
    <xf numFmtId="44" fontId="4" fillId="0" borderId="3" xfId="1" applyNumberFormat="1" applyFont="1" applyBorder="1"/>
    <xf numFmtId="0" fontId="3" fillId="3" borderId="2" xfId="0" applyFont="1" applyFill="1" applyBorder="1" applyAlignment="1" applyProtection="1">
      <alignment horizontal="left"/>
      <protection locked="0"/>
    </xf>
    <xf numFmtId="168" fontId="3" fillId="3" borderId="2" xfId="0" applyNumberFormat="1" applyFont="1" applyFill="1" applyBorder="1" applyAlignment="1" applyProtection="1">
      <alignment horizontal="left"/>
      <protection locked="0"/>
    </xf>
    <xf numFmtId="165" fontId="3" fillId="3" borderId="2" xfId="0" applyNumberFormat="1" applyFont="1" applyFill="1" applyBorder="1" applyAlignment="1" applyProtection="1">
      <alignment horizontal="left"/>
      <protection locked="0"/>
    </xf>
    <xf numFmtId="164" fontId="3" fillId="3" borderId="2" xfId="0" applyNumberFormat="1" applyFont="1" applyFill="1" applyBorder="1" applyAlignment="1" applyProtection="1">
      <alignment horizontal="left"/>
      <protection locked="0"/>
    </xf>
    <xf numFmtId="166" fontId="3" fillId="3" borderId="2" xfId="0" applyNumberFormat="1" applyFont="1" applyFill="1" applyBorder="1" applyAlignment="1" applyProtection="1">
      <alignment horizontal="left"/>
      <protection locked="0"/>
    </xf>
    <xf numFmtId="167" fontId="3" fillId="3" borderId="2" xfId="0" applyNumberFormat="1" applyFont="1" applyFill="1" applyBorder="1" applyAlignment="1" applyProtection="1">
      <alignment horizontal="left"/>
      <protection locked="0"/>
    </xf>
    <xf numFmtId="0" fontId="8" fillId="3" borderId="2" xfId="2" applyFont="1" applyFill="1" applyBorder="1" applyAlignment="1" applyProtection="1">
      <alignment horizontal="left"/>
      <protection locked="0"/>
    </xf>
    <xf numFmtId="0" fontId="5" fillId="0" borderId="0" xfId="1" applyFont="1" applyBorder="1" applyAlignment="1"/>
    <xf numFmtId="169" fontId="13" fillId="0" borderId="6" xfId="0" applyNumberFormat="1" applyFont="1" applyBorder="1"/>
    <xf numFmtId="168" fontId="13" fillId="0" borderId="7" xfId="0" applyNumberFormat="1" applyFont="1" applyBorder="1"/>
    <xf numFmtId="0" fontId="11" fillId="3" borderId="4" xfId="0" applyFont="1" applyFill="1" applyBorder="1"/>
    <xf numFmtId="0" fontId="7" fillId="3" borderId="4" xfId="0" applyFont="1" applyFill="1" applyBorder="1" applyAlignment="1">
      <alignment horizontal="left" indent="3"/>
    </xf>
    <xf numFmtId="0" fontId="0" fillId="3" borderId="4" xfId="0" applyFill="1" applyBorder="1" applyAlignment="1">
      <alignment horizontal="left" indent="3"/>
    </xf>
    <xf numFmtId="0" fontId="5" fillId="0" borderId="0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68" fontId="10" fillId="3" borderId="4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169" fontId="0" fillId="0" borderId="0" xfId="0" applyNumberFormat="1" applyBorder="1"/>
    <xf numFmtId="0" fontId="5" fillId="0" borderId="8" xfId="1" applyFont="1" applyBorder="1" applyAlignment="1"/>
    <xf numFmtId="44" fontId="5" fillId="0" borderId="8" xfId="3" applyFont="1" applyBorder="1" applyAlignment="1"/>
    <xf numFmtId="170" fontId="13" fillId="0" borderId="6" xfId="0" applyNumberFormat="1" applyFont="1" applyBorder="1" applyAlignment="1" applyProtection="1">
      <alignment horizontal="left"/>
      <protection locked="0"/>
    </xf>
    <xf numFmtId="168" fontId="13" fillId="0" borderId="7" xfId="0" applyNumberFormat="1" applyFont="1" applyBorder="1" applyProtection="1">
      <protection locked="0"/>
    </xf>
    <xf numFmtId="0" fontId="11" fillId="3" borderId="5" xfId="0" applyFont="1" applyFill="1" applyBorder="1" applyProtection="1">
      <protection locked="0"/>
    </xf>
    <xf numFmtId="0" fontId="11" fillId="3" borderId="0" xfId="0" applyFont="1" applyFill="1" applyProtection="1">
      <protection locked="0"/>
    </xf>
    <xf numFmtId="44" fontId="11" fillId="3" borderId="0" xfId="0" applyNumberFormat="1" applyFont="1" applyFill="1" applyProtection="1">
      <protection locked="0"/>
    </xf>
  </cellXfs>
  <cellStyles count="4">
    <cellStyle name="Hiperlink" xfId="2" builtinId="8"/>
    <cellStyle name="Moeda" xfId="3" builtinId="4"/>
    <cellStyle name="Normal" xfId="0" builtinId="0"/>
    <cellStyle name="Título 1" xfId="1" builtinId="16"/>
  </cellStyles>
  <dxfs count="6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Segoe UI Semilight"/>
        <family val="2"/>
        <scheme val="none"/>
      </font>
      <numFmt numFmtId="0" formatCode="General"/>
      <fill>
        <patternFill patternType="solid">
          <fgColor indexed="64"/>
          <bgColor rgb="FFE8F1FC"/>
        </patternFill>
      </fill>
      <alignment horizontal="general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border diagonalUp="0" diagonalDown="0">
        <left/>
        <right style="thin">
          <color rgb="FF3B7DDD"/>
        </right>
        <top style="thin">
          <color rgb="FF3B7DDD"/>
        </top>
        <bottom style="thin">
          <color rgb="FF3B7DDD"/>
        </bottom>
        <vertical/>
        <horizontal/>
      </border>
      <protection locked="0" hidden="0"/>
    </dxf>
    <dxf>
      <font>
        <name val="Segoe UI"/>
        <family val="2"/>
        <scheme val="none"/>
      </font>
      <numFmt numFmtId="168" formatCode="&quot;R$&quot;\ #,##0.00"/>
      <border diagonalUp="0" diagonalDown="0">
        <left/>
        <right style="thin">
          <color rgb="FF3B7DDD"/>
        </right>
        <top style="thin">
          <color rgb="FF3B7DDD"/>
        </top>
        <bottom style="thin">
          <color rgb="FF3B7DDD"/>
        </bottom>
      </border>
      <protection locked="0" hidden="0"/>
    </dxf>
    <dxf>
      <font>
        <name val="Segoe UI"/>
        <family val="2"/>
        <scheme val="none"/>
      </font>
      <numFmt numFmtId="170" formatCode="mmmm\,\ yyyy;@"/>
      <alignment horizontal="left" vertical="bottom" textRotation="0" wrapText="0" indent="0" justifyLastLine="0" shrinkToFit="0" readingOrder="0"/>
      <border diagonalUp="0" diagonalDown="0">
        <left style="thin">
          <color rgb="FF3B7DDD"/>
        </left>
        <right/>
        <top style="thin">
          <color rgb="FF3B7DDD"/>
        </top>
        <bottom style="thin">
          <color rgb="FF3B7DDD"/>
        </bottom>
      </border>
      <protection locked="0" hidden="0"/>
    </dxf>
    <dxf>
      <border outline="0">
        <top style="thick">
          <color rgb="FFB0D4F5"/>
        </top>
      </border>
    </dxf>
  </dxfs>
  <tableStyles count="0" defaultTableStyle="TableStyleMedium2" defaultPivotStyle="PivotStyleLight16"/>
  <colors>
    <mruColors>
      <color rgb="FFB0D4F5"/>
      <color rgb="FF3B7DDD"/>
      <color rgb="FF16376B"/>
      <color rgb="FFE8F1FC"/>
      <color rgb="FF1E5AA8"/>
      <color rgb="FF0E32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-250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1" u="sng" cap="none" baseline="-25000">
                <a:uFill>
                  <a:solidFill>
                    <a:srgbClr val="B0D4F5"/>
                  </a:solidFill>
                </a:uFill>
                <a:latin typeface="Segoe UI" panose="020B0502040204020203" pitchFamily="34" charset="0"/>
                <a:cs typeface="Segoe UI" panose="020B0502040204020203" pitchFamily="34" charset="0"/>
              </a:rPr>
              <a:t>Saldo em cada Banco</a:t>
            </a:r>
          </a:p>
        </c:rich>
      </c:tx>
      <c:layout>
        <c:manualLayout>
          <c:xMode val="edge"/>
          <c:yMode val="edge"/>
          <c:x val="0.255085698180344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-25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(Informes!$D$11,Informes!$D$16,Informes!$D$21)</c:f>
              <c:strCache>
                <c:ptCount val="3"/>
                <c:pt idx="0">
                  <c:v>1 - Banco do Brasil</c:v>
                </c:pt>
                <c:pt idx="1">
                  <c:v>184 - Banco Itaú BBA S.A.</c:v>
                </c:pt>
                <c:pt idx="2">
                  <c:v>208 - Banco BTG Pactual</c:v>
                </c:pt>
              </c:strCache>
            </c:strRef>
          </c:cat>
          <c:val>
            <c:numRef>
              <c:f>(Informes!$D$12,Informes!$D$17,Informes!$D$22)</c:f>
              <c:numCache>
                <c:formatCode>"R$"\ #,##0.00</c:formatCode>
                <c:ptCount val="3"/>
                <c:pt idx="0">
                  <c:v>7000</c:v>
                </c:pt>
                <c:pt idx="1">
                  <c:v>2500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9-4765-B120-679DC0AA7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717541680"/>
        <c:axId val="1622716256"/>
      </c:barChart>
      <c:catAx>
        <c:axId val="171754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716256"/>
        <c:crosses val="autoZero"/>
        <c:auto val="1"/>
        <c:lblAlgn val="ctr"/>
        <c:lblOffset val="100"/>
        <c:noMultiLvlLbl val="0"/>
      </c:catAx>
      <c:valAx>
        <c:axId val="16227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0D4F5"/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754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-250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0" i="1" u="sng" cap="none" baseline="-25000">
                <a:solidFill>
                  <a:srgbClr val="16376B"/>
                </a:solidFill>
                <a:uFill>
                  <a:solidFill>
                    <a:srgbClr val="B0D4F5"/>
                  </a:solidFill>
                </a:uFill>
                <a:latin typeface="Segoe UI Semibold" panose="020B0702040204020203" pitchFamily="34" charset="0"/>
              </a:rPr>
              <a:t>Composição De Renda </a:t>
            </a:r>
          </a:p>
        </c:rich>
      </c:tx>
      <c:layout>
        <c:manualLayout>
          <c:xMode val="edge"/>
          <c:yMode val="edge"/>
          <c:x val="0.2982029677428939"/>
          <c:y val="1.733483931863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-25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8898914935788"/>
          <c:y val="0.15523071112308323"/>
          <c:w val="0.83513963109759404"/>
          <c:h val="0.7990410537467763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(Notas!$C$34,Notas!$C$36:$C$38)</c15:sqref>
                  </c15:fullRef>
                </c:ext>
              </c:extLst>
              <c:f>Notas!$C$36:$C$38</c:f>
              <c:strCache>
                <c:ptCount val="3"/>
                <c:pt idx="0">
                  <c:v>Holerite</c:v>
                </c:pt>
                <c:pt idx="1">
                  <c:v>Cnpj</c:v>
                </c:pt>
                <c:pt idx="2">
                  <c:v>Freelance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(Notas!$D$34,Notas!$D$36:$D$38)</c15:sqref>
                  </c15:fullRef>
                </c:ext>
              </c:extLst>
              <c:f>Notas!$D$36:$D$38</c:f>
              <c:numCache>
                <c:formatCode>"R$"\ #,##0.00</c:formatCode>
                <c:ptCount val="3"/>
                <c:pt idx="0">
                  <c:v>12500</c:v>
                </c:pt>
                <c:pt idx="1">
                  <c:v>4000</c:v>
                </c:pt>
                <c:pt idx="2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7EF-A3C8-62A3D6497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772032192"/>
        <c:axId val="1519167392"/>
      </c:barChart>
      <c:valAx>
        <c:axId val="1519167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772032192"/>
        <c:crosses val="autoZero"/>
        <c:crossBetween val="between"/>
      </c:valAx>
      <c:catAx>
        <c:axId val="177203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51916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3</xdr:row>
      <xdr:rowOff>133350</xdr:rowOff>
    </xdr:from>
    <xdr:to>
      <xdr:col>0</xdr:col>
      <xdr:colOff>2133600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507EFD-03FA-4520-BA0C-9B2F6107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57250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371475</xdr:colOff>
      <xdr:row>1</xdr:row>
      <xdr:rowOff>9524</xdr:rowOff>
    </xdr:from>
    <xdr:to>
      <xdr:col>0</xdr:col>
      <xdr:colOff>2000250</xdr:colOff>
      <xdr:row>2</xdr:row>
      <xdr:rowOff>304799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087B28E-CB65-4D88-B830-21B681B23D69}"/>
            </a:ext>
          </a:extLst>
        </xdr:cNvPr>
        <xdr:cNvSpPr/>
      </xdr:nvSpPr>
      <xdr:spPr>
        <a:xfrm>
          <a:off x="371475" y="200024"/>
          <a:ext cx="162877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 i="1">
              <a:latin typeface="Segoe UI" panose="020B0502040204020203" pitchFamily="34" charset="0"/>
              <a:cs typeface="Segoe UI" panose="020B0502040204020203" pitchFamily="34" charset="0"/>
            </a:rPr>
            <a:t>DIAG </a:t>
          </a:r>
          <a:r>
            <a:rPr lang="pt-BR" sz="2000" b="1" i="1">
              <a:gradFill>
                <a:gsLst>
                  <a:gs pos="41000">
                    <a:schemeClr val="accent1">
                      <a:lumMod val="5000"/>
                      <a:lumOff val="95000"/>
                    </a:schemeClr>
                  </a:gs>
                  <a:gs pos="69000">
                    <a:schemeClr val="accent1">
                      <a:lumMod val="46000"/>
                      <a:lumOff val="54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Tax</a:t>
          </a:r>
          <a:endParaRPr lang="pt-BR" sz="2400" b="1" i="1">
            <a:gradFill>
              <a:gsLst>
                <a:gs pos="41000">
                  <a:schemeClr val="accent1">
                    <a:lumMod val="5000"/>
                    <a:lumOff val="95000"/>
                  </a:schemeClr>
                </a:gs>
                <a:gs pos="69000">
                  <a:schemeClr val="accent1">
                    <a:lumMod val="46000"/>
                    <a:lumOff val="54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219075</xdr:colOff>
      <xdr:row>14</xdr:row>
      <xdr:rowOff>114300</xdr:rowOff>
    </xdr:from>
    <xdr:to>
      <xdr:col>0</xdr:col>
      <xdr:colOff>2124075</xdr:colOff>
      <xdr:row>25</xdr:row>
      <xdr:rowOff>76200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5819B5C-5DB2-71CB-3FB5-303A00EEAC5E}"/>
            </a:ext>
          </a:extLst>
        </xdr:cNvPr>
        <xdr:cNvGrpSpPr/>
      </xdr:nvGrpSpPr>
      <xdr:grpSpPr>
        <a:xfrm>
          <a:off x="219075" y="3114675"/>
          <a:ext cx="1905000" cy="2133600"/>
          <a:chOff x="219075" y="3114675"/>
          <a:chExt cx="1905000" cy="2133600"/>
        </a:xfrm>
      </xdr:grpSpPr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350488A-B516-79AA-2EFE-FDAD745EBCDF}"/>
              </a:ext>
            </a:extLst>
          </xdr:cNvPr>
          <xdr:cNvSpPr/>
        </xdr:nvSpPr>
        <xdr:spPr>
          <a:xfrm>
            <a:off x="219075" y="3974041"/>
            <a:ext cx="1885950" cy="503768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Informes</a:t>
            </a:r>
            <a:r>
              <a:rPr lang="pt-BR" sz="1600" i="1" baseline="0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endPara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56DDE8D4-31C9-014F-5801-A74E6732363F}"/>
              </a:ext>
            </a:extLst>
          </xdr:cNvPr>
          <xdr:cNvSpPr/>
        </xdr:nvSpPr>
        <xdr:spPr>
          <a:xfrm>
            <a:off x="238125" y="3114675"/>
            <a:ext cx="1885950" cy="523522"/>
          </a:xfrm>
          <a:prstGeom prst="roundRect">
            <a:avLst/>
          </a:prstGeom>
          <a:noFill/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Títular 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CB0AA11-E3AB-2953-D7FE-C83EF2A71365}"/>
              </a:ext>
            </a:extLst>
          </xdr:cNvPr>
          <xdr:cNvSpPr/>
        </xdr:nvSpPr>
        <xdr:spPr>
          <a:xfrm>
            <a:off x="228600" y="4784019"/>
            <a:ext cx="1885950" cy="464256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Notas </a:t>
            </a:r>
          </a:p>
        </xdr:txBody>
      </xdr:sp>
    </xdr:grpSp>
    <xdr:clientData/>
  </xdr:twoCellAnchor>
  <xdr:twoCellAnchor editAs="absolute">
    <xdr:from>
      <xdr:col>0</xdr:col>
      <xdr:colOff>1057276</xdr:colOff>
      <xdr:row>30</xdr:row>
      <xdr:rowOff>28575</xdr:rowOff>
    </xdr:from>
    <xdr:to>
      <xdr:col>0</xdr:col>
      <xdr:colOff>2314575</xdr:colOff>
      <xdr:row>31</xdr:row>
      <xdr:rowOff>171449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6C0AFAB-0E2B-4A0F-AF3B-02902EE4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6" y="6153150"/>
          <a:ext cx="1257299" cy="333374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19</xdr:row>
      <xdr:rowOff>85724</xdr:rowOff>
    </xdr:from>
    <xdr:to>
      <xdr:col>3</xdr:col>
      <xdr:colOff>2876550</xdr:colOff>
      <xdr:row>21</xdr:row>
      <xdr:rowOff>171449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072CA9-C5A8-447E-9E69-F07DB5C05A63}"/>
            </a:ext>
          </a:extLst>
        </xdr:cNvPr>
        <xdr:cNvSpPr/>
      </xdr:nvSpPr>
      <xdr:spPr>
        <a:xfrm>
          <a:off x="5657850" y="4114799"/>
          <a:ext cx="2819400" cy="466725"/>
        </a:xfrm>
        <a:prstGeom prst="roundRect">
          <a:avLst/>
        </a:prstGeom>
        <a:solidFill>
          <a:srgbClr val="3B7DDD"/>
        </a:solidFill>
        <a:ln>
          <a:solidFill>
            <a:srgbClr val="3B7DDD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Próximo</a:t>
          </a:r>
          <a:r>
            <a:rPr lang="pt-BR" sz="1600" i="1" baseline="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600" i="1">
            <a:solidFill>
              <a:schemeClr val="lt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3</xdr:row>
      <xdr:rowOff>133350</xdr:rowOff>
    </xdr:from>
    <xdr:to>
      <xdr:col>0</xdr:col>
      <xdr:colOff>2133600</xdr:colOff>
      <xdr:row>12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2DAB43-BC51-DDB8-3D32-57B7AD9B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57250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371475</xdr:colOff>
      <xdr:row>1</xdr:row>
      <xdr:rowOff>9524</xdr:rowOff>
    </xdr:from>
    <xdr:to>
      <xdr:col>0</xdr:col>
      <xdr:colOff>2000250</xdr:colOff>
      <xdr:row>2</xdr:row>
      <xdr:rowOff>304799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6217C37B-4CEE-80B7-9C5B-660B312C885C}"/>
            </a:ext>
          </a:extLst>
        </xdr:cNvPr>
        <xdr:cNvSpPr/>
      </xdr:nvSpPr>
      <xdr:spPr>
        <a:xfrm>
          <a:off x="371475" y="200024"/>
          <a:ext cx="162877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 i="1">
              <a:latin typeface="Segoe UI" panose="020B0502040204020203" pitchFamily="34" charset="0"/>
              <a:cs typeface="Segoe UI" panose="020B0502040204020203" pitchFamily="34" charset="0"/>
            </a:rPr>
            <a:t>DIAG </a:t>
          </a:r>
          <a:r>
            <a:rPr lang="pt-BR" sz="2000" b="1" i="1">
              <a:gradFill>
                <a:gsLst>
                  <a:gs pos="41000">
                    <a:schemeClr val="accent1">
                      <a:lumMod val="5000"/>
                      <a:lumOff val="95000"/>
                    </a:schemeClr>
                  </a:gs>
                  <a:gs pos="69000">
                    <a:schemeClr val="accent1">
                      <a:lumMod val="46000"/>
                      <a:lumOff val="54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Tax</a:t>
          </a:r>
          <a:endParaRPr lang="pt-BR" sz="2400" b="1" i="1">
            <a:gradFill>
              <a:gsLst>
                <a:gs pos="41000">
                  <a:schemeClr val="accent1">
                    <a:lumMod val="5000"/>
                    <a:lumOff val="95000"/>
                  </a:schemeClr>
                </a:gs>
                <a:gs pos="69000">
                  <a:schemeClr val="accent1">
                    <a:lumMod val="46000"/>
                    <a:lumOff val="54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219075</xdr:colOff>
      <xdr:row>14</xdr:row>
      <xdr:rowOff>76200</xdr:rowOff>
    </xdr:from>
    <xdr:to>
      <xdr:col>0</xdr:col>
      <xdr:colOff>2124075</xdr:colOff>
      <xdr:row>25</xdr:row>
      <xdr:rowOff>19050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4A637CF-441F-98E9-48D3-46FECC272F31}"/>
            </a:ext>
          </a:extLst>
        </xdr:cNvPr>
        <xdr:cNvGrpSpPr/>
      </xdr:nvGrpSpPr>
      <xdr:grpSpPr>
        <a:xfrm>
          <a:off x="219075" y="3200400"/>
          <a:ext cx="1905000" cy="2171700"/>
          <a:chOff x="219075" y="3448050"/>
          <a:chExt cx="1905000" cy="2171700"/>
        </a:xfrm>
      </xdr:grpSpPr>
      <xdr:sp macro="" textlink="">
        <xdr:nvSpPr>
          <xdr:cNvPr id="9" name="Retângulo: Cantos Arredondados 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93CB2CA-0F5F-47E7-B2B2-F375CAA512C1}"/>
              </a:ext>
            </a:extLst>
          </xdr:cNvPr>
          <xdr:cNvSpPr/>
        </xdr:nvSpPr>
        <xdr:spPr>
          <a:xfrm>
            <a:off x="219075" y="4333874"/>
            <a:ext cx="1885950" cy="523876"/>
          </a:xfrm>
          <a:prstGeom prst="roundRect">
            <a:avLst/>
          </a:prstGeom>
          <a:noFill/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Informes</a:t>
            </a:r>
            <a:r>
              <a:rPr lang="pt-BR" sz="1600" i="1" baseline="0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endPara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3672A0F-A419-4EF2-87F0-04C9407E789D}"/>
              </a:ext>
            </a:extLst>
          </xdr:cNvPr>
          <xdr:cNvSpPr/>
        </xdr:nvSpPr>
        <xdr:spPr>
          <a:xfrm>
            <a:off x="238125" y="3448050"/>
            <a:ext cx="1885950" cy="561975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Títular 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5038B7E-CB8D-463D-925E-23B83A38F1BA}"/>
              </a:ext>
            </a:extLst>
          </xdr:cNvPr>
          <xdr:cNvSpPr/>
        </xdr:nvSpPr>
        <xdr:spPr>
          <a:xfrm>
            <a:off x="228600" y="5172075"/>
            <a:ext cx="1885950" cy="447675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Notas </a:t>
            </a:r>
          </a:p>
        </xdr:txBody>
      </xdr:sp>
    </xdr:grpSp>
    <xdr:clientData/>
  </xdr:twoCellAnchor>
  <xdr:twoCellAnchor>
    <xdr:from>
      <xdr:col>2</xdr:col>
      <xdr:colOff>9526</xdr:colOff>
      <xdr:row>25</xdr:row>
      <xdr:rowOff>161925</xdr:rowOff>
    </xdr:from>
    <xdr:to>
      <xdr:col>2</xdr:col>
      <xdr:colOff>2619376</xdr:colOff>
      <xdr:row>28</xdr:row>
      <xdr:rowOff>104774</xdr:rowOff>
    </xdr:to>
    <xdr:sp macro="" textlink="">
      <xdr:nvSpPr>
        <xdr:cNvPr id="18" name="Retângulo: Cantos Arredondados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94CEEC-D376-48BB-A661-7724B8466BDF}"/>
            </a:ext>
          </a:extLst>
        </xdr:cNvPr>
        <xdr:cNvSpPr/>
      </xdr:nvSpPr>
      <xdr:spPr>
        <a:xfrm>
          <a:off x="2962276" y="5514975"/>
          <a:ext cx="2609850" cy="514349"/>
        </a:xfrm>
        <a:prstGeom prst="roundRect">
          <a:avLst/>
        </a:prstGeom>
        <a:solidFill>
          <a:srgbClr val="3B7DDD"/>
        </a:solidFill>
        <a:ln>
          <a:solidFill>
            <a:srgbClr val="3B7DDD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i="1" baseline="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Retornar </a:t>
          </a:r>
          <a:endParaRPr lang="pt-BR" sz="1600" i="1">
            <a:solidFill>
              <a:schemeClr val="lt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57150</xdr:colOff>
      <xdr:row>25</xdr:row>
      <xdr:rowOff>161925</xdr:rowOff>
    </xdr:from>
    <xdr:to>
      <xdr:col>3</xdr:col>
      <xdr:colOff>2667000</xdr:colOff>
      <xdr:row>28</xdr:row>
      <xdr:rowOff>104774</xdr:rowOff>
    </xdr:to>
    <xdr:sp macro="" textlink="">
      <xdr:nvSpPr>
        <xdr:cNvPr id="23" name="Retângulo: Cantos Arredondados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A62E52-7F47-4168-BC41-D7CA80E7E8E4}"/>
            </a:ext>
          </a:extLst>
        </xdr:cNvPr>
        <xdr:cNvSpPr/>
      </xdr:nvSpPr>
      <xdr:spPr>
        <a:xfrm>
          <a:off x="5724525" y="5514975"/>
          <a:ext cx="2609850" cy="514349"/>
        </a:xfrm>
        <a:prstGeom prst="roundRect">
          <a:avLst/>
        </a:prstGeom>
        <a:solidFill>
          <a:srgbClr val="3B7DDD"/>
        </a:solidFill>
        <a:ln>
          <a:solidFill>
            <a:srgbClr val="3B7DDD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Próximo</a:t>
          </a:r>
          <a:r>
            <a:rPr lang="pt-BR" sz="1600" i="1" baseline="0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600" i="1">
            <a:solidFill>
              <a:schemeClr val="lt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5</xdr:col>
      <xdr:colOff>514351</xdr:colOff>
      <xdr:row>7</xdr:row>
      <xdr:rowOff>9525</xdr:rowOff>
    </xdr:from>
    <xdr:to>
      <xdr:col>11</xdr:col>
      <xdr:colOff>400050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529C30-BD64-0646-D22A-A11337C14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1095375</xdr:colOff>
      <xdr:row>30</xdr:row>
      <xdr:rowOff>38100</xdr:rowOff>
    </xdr:from>
    <xdr:to>
      <xdr:col>1</xdr:col>
      <xdr:colOff>9524</xdr:colOff>
      <xdr:row>31</xdr:row>
      <xdr:rowOff>180974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AC358B4-BF54-4D2C-9B37-C39B5A5D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6343650"/>
          <a:ext cx="1257299" cy="333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3</xdr:row>
      <xdr:rowOff>133350</xdr:rowOff>
    </xdr:from>
    <xdr:to>
      <xdr:col>0</xdr:col>
      <xdr:colOff>2133600</xdr:colOff>
      <xdr:row>12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78CD9D-9274-4FDD-ACB3-A5E8DECC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57250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371475</xdr:colOff>
      <xdr:row>1</xdr:row>
      <xdr:rowOff>9524</xdr:rowOff>
    </xdr:from>
    <xdr:to>
      <xdr:col>0</xdr:col>
      <xdr:colOff>2000250</xdr:colOff>
      <xdr:row>2</xdr:row>
      <xdr:rowOff>304799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1EF88DF-CEED-47EA-8354-983013049A41}"/>
            </a:ext>
          </a:extLst>
        </xdr:cNvPr>
        <xdr:cNvSpPr/>
      </xdr:nvSpPr>
      <xdr:spPr>
        <a:xfrm>
          <a:off x="371475" y="200024"/>
          <a:ext cx="1628775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 i="1">
              <a:latin typeface="Segoe UI" panose="020B0502040204020203" pitchFamily="34" charset="0"/>
              <a:cs typeface="Segoe UI" panose="020B0502040204020203" pitchFamily="34" charset="0"/>
            </a:rPr>
            <a:t>DIAG </a:t>
          </a:r>
          <a:r>
            <a:rPr lang="pt-BR" sz="2000" b="1" i="1">
              <a:gradFill>
                <a:gsLst>
                  <a:gs pos="41000">
                    <a:schemeClr val="accent1">
                      <a:lumMod val="5000"/>
                      <a:lumOff val="95000"/>
                    </a:schemeClr>
                  </a:gs>
                  <a:gs pos="69000">
                    <a:schemeClr val="accent1">
                      <a:lumMod val="46000"/>
                      <a:lumOff val="54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Tax</a:t>
          </a:r>
          <a:endParaRPr lang="pt-BR" sz="2400" b="1" i="1">
            <a:gradFill>
              <a:gsLst>
                <a:gs pos="41000">
                  <a:schemeClr val="accent1">
                    <a:lumMod val="5000"/>
                    <a:lumOff val="95000"/>
                  </a:schemeClr>
                </a:gs>
                <a:gs pos="69000">
                  <a:schemeClr val="accent1">
                    <a:lumMod val="46000"/>
                    <a:lumOff val="54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209550</xdr:colOff>
      <xdr:row>14</xdr:row>
      <xdr:rowOff>19050</xdr:rowOff>
    </xdr:from>
    <xdr:to>
      <xdr:col>0</xdr:col>
      <xdr:colOff>2114550</xdr:colOff>
      <xdr:row>24</xdr:row>
      <xdr:rowOff>190500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90B9B699-D28B-40E1-953E-794BBDFDF26B}"/>
            </a:ext>
          </a:extLst>
        </xdr:cNvPr>
        <xdr:cNvGrpSpPr/>
      </xdr:nvGrpSpPr>
      <xdr:grpSpPr>
        <a:xfrm>
          <a:off x="209550" y="3105150"/>
          <a:ext cx="1905000" cy="2266950"/>
          <a:chOff x="228600" y="4086225"/>
          <a:chExt cx="1905000" cy="2057400"/>
        </a:xfrm>
      </xdr:grpSpPr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FA4B4DC-92E9-12F9-6264-9F80D848FFF4}"/>
              </a:ext>
            </a:extLst>
          </xdr:cNvPr>
          <xdr:cNvSpPr/>
        </xdr:nvSpPr>
        <xdr:spPr>
          <a:xfrm>
            <a:off x="228600" y="4914899"/>
            <a:ext cx="1885950" cy="485776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Informes</a:t>
            </a:r>
            <a:r>
              <a:rPr lang="pt-BR" sz="1600" i="1" baseline="0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endPara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B56FE05-E01A-87D6-4B22-11272A176A5C}"/>
              </a:ext>
            </a:extLst>
          </xdr:cNvPr>
          <xdr:cNvSpPr/>
        </xdr:nvSpPr>
        <xdr:spPr>
          <a:xfrm>
            <a:off x="247650" y="4086225"/>
            <a:ext cx="1885950" cy="504825"/>
          </a:xfrm>
          <a:prstGeom prst="roundRect">
            <a:avLst/>
          </a:prstGeom>
          <a:solidFill>
            <a:srgbClr val="3B7DDD"/>
          </a:solidFill>
          <a:ln>
            <a:solidFill>
              <a:srgbClr val="1E5AA8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Títular 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0CF1734-47C6-F880-333A-22BF761D1795}"/>
              </a:ext>
            </a:extLst>
          </xdr:cNvPr>
          <xdr:cNvSpPr/>
        </xdr:nvSpPr>
        <xdr:spPr>
          <a:xfrm>
            <a:off x="238125" y="5695950"/>
            <a:ext cx="1885950" cy="447675"/>
          </a:xfrm>
          <a:prstGeom prst="roundRect">
            <a:avLst/>
          </a:prstGeom>
          <a:noFill/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Notas </a:t>
            </a:r>
          </a:p>
        </xdr:txBody>
      </xdr:sp>
    </xdr:grpSp>
    <xdr:clientData/>
  </xdr:twoCellAnchor>
  <xdr:twoCellAnchor>
    <xdr:from>
      <xdr:col>2</xdr:col>
      <xdr:colOff>57149</xdr:colOff>
      <xdr:row>4</xdr:row>
      <xdr:rowOff>76200</xdr:rowOff>
    </xdr:from>
    <xdr:to>
      <xdr:col>3</xdr:col>
      <xdr:colOff>1362074</xdr:colOff>
      <xdr:row>6</xdr:row>
      <xdr:rowOff>123826</xdr:rowOff>
    </xdr:to>
    <xdr:grpSp>
      <xdr:nvGrpSpPr>
        <xdr:cNvPr id="14" name="Agrupar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9D6409-04BC-FC6C-37CB-778B464B0316}"/>
            </a:ext>
          </a:extLst>
        </xdr:cNvPr>
        <xdr:cNvGrpSpPr/>
      </xdr:nvGrpSpPr>
      <xdr:grpSpPr>
        <a:xfrm>
          <a:off x="3009899" y="1000125"/>
          <a:ext cx="2971800" cy="428626"/>
          <a:chOff x="10286999" y="2905125"/>
          <a:chExt cx="2447925" cy="428626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CA05D1DA-CD49-7220-06F7-F8E71770A202}"/>
              </a:ext>
            </a:extLst>
          </xdr:cNvPr>
          <xdr:cNvSpPr/>
        </xdr:nvSpPr>
        <xdr:spPr>
          <a:xfrm>
            <a:off x="10286999" y="2952751"/>
            <a:ext cx="2447925" cy="381000"/>
          </a:xfrm>
          <a:prstGeom prst="roundRect">
            <a:avLst/>
          </a:prstGeom>
          <a:solidFill>
            <a:srgbClr val="3B7DDD"/>
          </a:solidFill>
          <a:ln>
            <a:solidFill>
              <a:srgbClr val="3B7DDD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i="1" baseline="0">
                <a:solidFill>
                  <a:schemeClr val="lt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endParaRPr lang="pt-BR" sz="1600" i="1">
              <a:solidFill>
                <a:schemeClr val="lt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5406BAC2-4523-7137-5C96-904C491169CC}"/>
              </a:ext>
            </a:extLst>
          </xdr:cNvPr>
          <xdr:cNvSpPr txBox="1"/>
        </xdr:nvSpPr>
        <xdr:spPr>
          <a:xfrm>
            <a:off x="10972800" y="2905125"/>
            <a:ext cx="989245" cy="3724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0" lang="pt-BR" sz="1600" b="0" i="1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Retornar</a:t>
            </a:r>
            <a:endParaRPr lang="pt-BR" sz="1100"/>
          </a:p>
        </xdr:txBody>
      </xdr:sp>
    </xdr:grpSp>
    <xdr:clientData/>
  </xdr:twoCellAnchor>
  <xdr:twoCellAnchor editAs="absolute">
    <xdr:from>
      <xdr:col>5</xdr:col>
      <xdr:colOff>333374</xdr:colOff>
      <xdr:row>2</xdr:row>
      <xdr:rowOff>338137</xdr:rowOff>
    </xdr:from>
    <xdr:to>
      <xdr:col>17</xdr:col>
      <xdr:colOff>19050</xdr:colOff>
      <xdr:row>29</xdr:row>
      <xdr:rowOff>28575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A7AFA53-88E6-D475-528A-BA1F5C343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1085850</xdr:colOff>
      <xdr:row>30</xdr:row>
      <xdr:rowOff>314325</xdr:rowOff>
    </xdr:from>
    <xdr:to>
      <xdr:col>0</xdr:col>
      <xdr:colOff>2343149</xdr:colOff>
      <xdr:row>31</xdr:row>
      <xdr:rowOff>314324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0BB98AC-618D-46A6-A6BD-F647832F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6734175"/>
          <a:ext cx="12572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4C8DC7-9751-4F47-ACAC-9371DD3B48DA}" name="Tabela3" displayName="Tabela3" ref="C9:E29" totalsRowShown="0" headerRowDxfId="0" dataDxfId="1" tableBorderDxfId="5">
  <autoFilter ref="C9:E29" xr:uid="{844C8DC7-9751-4F47-ACAC-9371DD3B48DA}"/>
  <tableColumns count="3">
    <tableColumn id="1" xr3:uid="{DFC2617F-6D56-49D5-9858-BF7CC1CAF358}" name="Data " dataDxfId="4"/>
    <tableColumn id="2" xr3:uid="{1A6B7E0C-EC3D-4CB3-8A2D-FA2E1E28FDB1}" name="Categoria" dataDxfId="3"/>
    <tableColumn id="3" xr3:uid="{75F25925-0544-45AA-87C0-1D7BE8DC8969}" name="Valor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442EE-11C6-45FA-8C23-67C2E3979653}" name="Listabanco" displayName="Listabanco" ref="A1:A51" totalsRowShown="0">
  <autoFilter ref="A1:A51" xr:uid="{1F4442EE-11C6-45FA-8C23-67C2E3979653}"/>
  <tableColumns count="1">
    <tableColumn id="1" xr3:uid="{027C7D39-505B-4205-992B-93C3C0516702}" name="ban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rraz73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44AC-6304-4BD1-A933-8E855A0DCCA1}">
  <dimension ref="A1:V47"/>
  <sheetViews>
    <sheetView showGridLines="0" showRowColHeaders="0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5.140625" style="1" customWidth="1"/>
    <col min="2" max="2" width="9.140625" customWidth="1"/>
    <col min="3" max="4" width="40.7109375" customWidth="1"/>
    <col min="5" max="5" width="2.7109375" customWidth="1"/>
    <col min="6" max="22" width="9.140625" customWidth="1"/>
    <col min="23" max="16384" width="9.140625" hidden="1"/>
  </cols>
  <sheetData>
    <row r="1" spans="3:7" x14ac:dyDescent="0.25"/>
    <row r="2" spans="3:7" x14ac:dyDescent="0.25"/>
    <row r="3" spans="3:7" ht="27" thickBot="1" x14ac:dyDescent="0.5">
      <c r="C3" s="6" t="s">
        <v>11</v>
      </c>
      <c r="D3" s="4"/>
      <c r="E3" s="4"/>
    </row>
    <row r="4" spans="3:7" ht="15.75" thickTop="1" x14ac:dyDescent="0.25">
      <c r="C4" s="23" t="s">
        <v>12</v>
      </c>
      <c r="D4" s="24"/>
      <c r="E4" s="24"/>
    </row>
    <row r="5" spans="3:7" x14ac:dyDescent="0.25"/>
    <row r="6" spans="3:7" ht="16.5" x14ac:dyDescent="0.3">
      <c r="C6" s="3" t="s">
        <v>0</v>
      </c>
      <c r="D6" s="12" t="s">
        <v>15</v>
      </c>
    </row>
    <row r="7" spans="3:7" ht="16.5" x14ac:dyDescent="0.3">
      <c r="C7" s="3" t="s">
        <v>1</v>
      </c>
      <c r="D7" s="15">
        <v>14525236663</v>
      </c>
      <c r="E7" s="2"/>
      <c r="F7" s="2"/>
      <c r="G7" s="2"/>
    </row>
    <row r="8" spans="3:7" ht="16.5" x14ac:dyDescent="0.3">
      <c r="C8" s="3" t="s">
        <v>2</v>
      </c>
      <c r="D8" s="14">
        <v>3178994545</v>
      </c>
      <c r="E8" s="2"/>
      <c r="F8" s="2"/>
      <c r="G8" s="2"/>
    </row>
    <row r="9" spans="3:7" ht="16.5" x14ac:dyDescent="0.3">
      <c r="C9" s="3" t="s">
        <v>3</v>
      </c>
      <c r="D9" s="12" t="s">
        <v>17</v>
      </c>
      <c r="E9" s="2"/>
      <c r="F9" s="2"/>
      <c r="G9" s="2"/>
    </row>
    <row r="10" spans="3:7" ht="16.5" x14ac:dyDescent="0.3">
      <c r="C10" s="3" t="s">
        <v>16</v>
      </c>
      <c r="D10" s="12" t="s">
        <v>86</v>
      </c>
      <c r="E10" s="2"/>
      <c r="F10" s="2"/>
      <c r="G10" s="2"/>
    </row>
    <row r="11" spans="3:7" ht="16.5" x14ac:dyDescent="0.3">
      <c r="C11" s="3" t="s">
        <v>4</v>
      </c>
      <c r="D11" s="16">
        <v>37401106</v>
      </c>
      <c r="E11" s="2"/>
      <c r="F11" s="2"/>
      <c r="G11" s="2"/>
    </row>
    <row r="12" spans="3:7" ht="16.5" x14ac:dyDescent="0.3">
      <c r="C12" s="3" t="s">
        <v>5</v>
      </c>
      <c r="D12" s="17">
        <v>34997882829</v>
      </c>
      <c r="E12" s="2"/>
      <c r="F12" s="2"/>
      <c r="G12" s="2"/>
    </row>
    <row r="13" spans="3:7" ht="16.5" x14ac:dyDescent="0.3">
      <c r="C13" s="3" t="s">
        <v>6</v>
      </c>
      <c r="D13" s="17">
        <v>34995828114</v>
      </c>
      <c r="E13" s="2"/>
      <c r="F13" s="2"/>
      <c r="G13" s="2"/>
    </row>
    <row r="14" spans="3:7" ht="16.5" x14ac:dyDescent="0.3">
      <c r="C14" s="3" t="s">
        <v>7</v>
      </c>
      <c r="D14" s="18" t="s">
        <v>87</v>
      </c>
      <c r="E14" s="2"/>
      <c r="F14" s="2"/>
      <c r="G14" s="2"/>
    </row>
    <row r="15" spans="3:7" ht="16.5" x14ac:dyDescent="0.3">
      <c r="C15" s="3" t="s">
        <v>8</v>
      </c>
      <c r="D15" s="12" t="s">
        <v>13</v>
      </c>
      <c r="E15" s="2"/>
      <c r="F15" s="2"/>
      <c r="G15" s="2"/>
    </row>
    <row r="16" spans="3:7" ht="16.5" x14ac:dyDescent="0.3">
      <c r="C16" s="3" t="s">
        <v>10</v>
      </c>
      <c r="D16" s="12" t="s">
        <v>14</v>
      </c>
      <c r="E16" s="2"/>
      <c r="F16" s="2"/>
      <c r="G16" s="2"/>
    </row>
    <row r="17" spans="1:7" ht="16.5" x14ac:dyDescent="0.3">
      <c r="C17" s="3" t="s">
        <v>9</v>
      </c>
      <c r="D17" s="12" t="s">
        <v>13</v>
      </c>
      <c r="E17" s="2"/>
      <c r="F17" s="2"/>
      <c r="G17" s="2"/>
    </row>
    <row r="18" spans="1:7" ht="16.5" x14ac:dyDescent="0.3">
      <c r="E18" s="2"/>
      <c r="F18" s="2"/>
      <c r="G18" s="2"/>
    </row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s="29" customFormat="1" x14ac:dyDescent="0.25">
      <c r="A32" s="28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5:D17" xr:uid="{0DDE1147-AFD6-4E4C-9FD3-F7FE0FDA26CF}">
      <formula1>"Sim,Não"</formula1>
    </dataValidation>
  </dataValidations>
  <hyperlinks>
    <hyperlink ref="D14" r:id="rId1" display="ferraz735@gmail.com" xr:uid="{B35293C7-CF29-4C29-B5BC-00CEB009002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638E-745D-41B0-8B3A-6D259833F21F}">
  <dimension ref="A1:E47"/>
  <sheetViews>
    <sheetView showGridLines="0" showRowColHeaders="0" workbookViewId="0">
      <selection activeCell="D13" sqref="D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zeroHeight="1" x14ac:dyDescent="0.25"/>
  <cols>
    <col min="1" max="1" width="35.140625" style="1" customWidth="1"/>
    <col min="3" max="4" width="40.7109375" customWidth="1"/>
    <col min="5" max="5" width="2.7109375" customWidth="1"/>
  </cols>
  <sheetData>
    <row r="1" spans="3:5" x14ac:dyDescent="0.25"/>
    <row r="2" spans="3:5" x14ac:dyDescent="0.25"/>
    <row r="3" spans="3:5" ht="27" thickBot="1" x14ac:dyDescent="0.5">
      <c r="C3" s="6" t="s">
        <v>18</v>
      </c>
      <c r="D3" s="4"/>
      <c r="E3" s="4"/>
    </row>
    <row r="4" spans="3:5" ht="15.75" thickTop="1" x14ac:dyDescent="0.25">
      <c r="C4" s="23" t="s">
        <v>19</v>
      </c>
      <c r="D4" s="24"/>
      <c r="E4" s="24"/>
    </row>
    <row r="5" spans="3:5" x14ac:dyDescent="0.25"/>
    <row r="6" spans="3:5" x14ac:dyDescent="0.25"/>
    <row r="7" spans="3:5" ht="26.25" thickBot="1" x14ac:dyDescent="0.55000000000000004">
      <c r="C7" s="5" t="s">
        <v>75</v>
      </c>
      <c r="D7" s="4"/>
      <c r="E7" s="2"/>
    </row>
    <row r="8" spans="3:5" ht="18" thickTop="1" x14ac:dyDescent="0.3">
      <c r="C8" s="27">
        <f>SUM(D12,D17,D22)</f>
        <v>21500</v>
      </c>
      <c r="D8" s="27"/>
      <c r="E8" s="2"/>
    </row>
    <row r="9" spans="3:5" ht="16.5" x14ac:dyDescent="0.3">
      <c r="E9" s="2"/>
    </row>
    <row r="10" spans="3:5" ht="16.5" x14ac:dyDescent="0.3">
      <c r="C10" s="7" t="s">
        <v>74</v>
      </c>
      <c r="E10" s="2"/>
    </row>
    <row r="11" spans="3:5" ht="16.5" x14ac:dyDescent="0.3">
      <c r="C11" s="3" t="s">
        <v>20</v>
      </c>
      <c r="D11" s="12" t="s">
        <v>23</v>
      </c>
      <c r="E11" s="2"/>
    </row>
    <row r="12" spans="3:5" ht="16.5" x14ac:dyDescent="0.3">
      <c r="C12" s="3" t="s">
        <v>21</v>
      </c>
      <c r="D12" s="13">
        <v>7000</v>
      </c>
      <c r="E12" s="2"/>
    </row>
    <row r="13" spans="3:5" ht="16.5" x14ac:dyDescent="0.3">
      <c r="C13" s="3" t="s">
        <v>22</v>
      </c>
      <c r="D13" s="14"/>
      <c r="E13" s="2"/>
    </row>
    <row r="14" spans="3:5" ht="16.5" x14ac:dyDescent="0.3">
      <c r="E14" s="2"/>
    </row>
    <row r="15" spans="3:5" ht="16.5" x14ac:dyDescent="0.3">
      <c r="C15" s="7" t="s">
        <v>76</v>
      </c>
      <c r="E15" s="2"/>
    </row>
    <row r="16" spans="3:5" ht="16.5" x14ac:dyDescent="0.3">
      <c r="C16" s="3" t="s">
        <v>20</v>
      </c>
      <c r="D16" s="12" t="s">
        <v>27</v>
      </c>
      <c r="E16" s="2"/>
    </row>
    <row r="17" spans="1:5" ht="16.5" x14ac:dyDescent="0.3">
      <c r="C17" s="3" t="s">
        <v>21</v>
      </c>
      <c r="D17" s="13">
        <v>2500</v>
      </c>
      <c r="E17" s="2"/>
    </row>
    <row r="18" spans="1:5" ht="16.5" x14ac:dyDescent="0.3">
      <c r="C18" s="3" t="s">
        <v>22</v>
      </c>
      <c r="D18" s="14"/>
      <c r="E18" s="2"/>
    </row>
    <row r="19" spans="1:5" x14ac:dyDescent="0.25"/>
    <row r="20" spans="1:5" x14ac:dyDescent="0.25">
      <c r="C20" s="7" t="s">
        <v>77</v>
      </c>
    </row>
    <row r="21" spans="1:5" ht="16.5" x14ac:dyDescent="0.3">
      <c r="C21" s="3" t="s">
        <v>20</v>
      </c>
      <c r="D21" s="12" t="s">
        <v>29</v>
      </c>
    </row>
    <row r="22" spans="1:5" ht="16.5" x14ac:dyDescent="0.3">
      <c r="C22" s="3" t="s">
        <v>21</v>
      </c>
      <c r="D22" s="13">
        <v>12000</v>
      </c>
    </row>
    <row r="23" spans="1:5" ht="16.5" x14ac:dyDescent="0.3">
      <c r="C23" s="3" t="s">
        <v>22</v>
      </c>
      <c r="D23" s="14"/>
    </row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ht="15" customHeight="1" x14ac:dyDescent="0.25"/>
    <row r="32" spans="1:5" s="29" customFormat="1" ht="15" customHeight="1" x14ac:dyDescent="0.25">
      <c r="A32" s="28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sheetProtection sheet="1" objects="1" scenarios="1" selectLockedCells="1"/>
  <mergeCells count="2">
    <mergeCell ref="C4:E4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Escolha o banco origem deste inf" xr:uid="{F344B708-7512-46FF-B2F3-54B9B5DF9862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313D-0188-4FE8-9F82-B158E6145C27}">
  <dimension ref="A1:E47"/>
  <sheetViews>
    <sheetView showGridLines="0" showRowColHeaders="0" tabSelected="1" workbookViewId="0">
      <selection activeCell="D23" sqref="D2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zeroHeight="1" x14ac:dyDescent="0.25"/>
  <cols>
    <col min="1" max="1" width="35.140625" style="1" customWidth="1"/>
    <col min="2" max="2" width="9.140625" customWidth="1"/>
    <col min="3" max="3" width="25" style="9" customWidth="1"/>
    <col min="4" max="4" width="43.5703125" customWidth="1"/>
    <col min="5" max="5" width="36.42578125" style="10" bestFit="1" customWidth="1"/>
    <col min="6" max="6" width="9.140625" customWidth="1"/>
  </cols>
  <sheetData>
    <row r="1" spans="3:5" x14ac:dyDescent="0.25">
      <c r="C1"/>
    </row>
    <row r="2" spans="3:5" x14ac:dyDescent="0.25">
      <c r="C2"/>
    </row>
    <row r="3" spans="3:5" ht="27" thickBot="1" x14ac:dyDescent="0.5">
      <c r="C3" s="6" t="s">
        <v>78</v>
      </c>
      <c r="D3" s="4"/>
      <c r="E3" s="11"/>
    </row>
    <row r="4" spans="3:5" ht="15.75" thickTop="1" x14ac:dyDescent="0.25">
      <c r="C4" s="23" t="s">
        <v>79</v>
      </c>
      <c r="D4" s="24"/>
      <c r="E4" s="24"/>
    </row>
    <row r="5" spans="3:5" x14ac:dyDescent="0.25">
      <c r="C5"/>
    </row>
    <row r="6" spans="3:5" x14ac:dyDescent="0.25">
      <c r="C6"/>
    </row>
    <row r="7" spans="3:5" x14ac:dyDescent="0.25">
      <c r="C7"/>
    </row>
    <row r="8" spans="3:5" ht="25.5" x14ac:dyDescent="0.5">
      <c r="C8" s="25" t="s">
        <v>80</v>
      </c>
      <c r="D8" s="25"/>
      <c r="E8" s="25"/>
    </row>
    <row r="9" spans="3:5" ht="17.25" x14ac:dyDescent="0.3">
      <c r="C9" s="36" t="s">
        <v>81</v>
      </c>
      <c r="D9" s="36" t="s">
        <v>82</v>
      </c>
      <c r="E9" s="37" t="s">
        <v>83</v>
      </c>
    </row>
    <row r="10" spans="3:5" ht="16.5" x14ac:dyDescent="0.3">
      <c r="C10" s="33">
        <v>46292</v>
      </c>
      <c r="D10" s="34" t="s">
        <v>85</v>
      </c>
      <c r="E10" s="34">
        <v>3000</v>
      </c>
    </row>
    <row r="11" spans="3:5" ht="16.5" x14ac:dyDescent="0.3">
      <c r="C11" s="33">
        <v>46296</v>
      </c>
      <c r="D11" s="34" t="s">
        <v>88</v>
      </c>
      <c r="E11" s="34">
        <v>4000</v>
      </c>
    </row>
    <row r="12" spans="3:5" ht="16.5" x14ac:dyDescent="0.3">
      <c r="C12" s="33">
        <v>46235</v>
      </c>
      <c r="D12" s="34" t="s">
        <v>84</v>
      </c>
      <c r="E12" s="34">
        <v>3000</v>
      </c>
    </row>
    <row r="13" spans="3:5" ht="16.5" x14ac:dyDescent="0.3">
      <c r="C13" s="33">
        <v>46230</v>
      </c>
      <c r="D13" s="34" t="s">
        <v>85</v>
      </c>
      <c r="E13" s="34">
        <v>7000</v>
      </c>
    </row>
    <row r="14" spans="3:5" ht="16.5" x14ac:dyDescent="0.3">
      <c r="C14" s="33">
        <v>46266</v>
      </c>
      <c r="D14" s="34" t="s">
        <v>84</v>
      </c>
      <c r="E14" s="34">
        <v>3000</v>
      </c>
    </row>
    <row r="15" spans="3:5" ht="16.5" x14ac:dyDescent="0.3">
      <c r="C15" s="33">
        <v>46082</v>
      </c>
      <c r="D15" s="34" t="s">
        <v>85</v>
      </c>
      <c r="E15" s="34">
        <v>2500</v>
      </c>
    </row>
    <row r="16" spans="3:5" ht="16.5" x14ac:dyDescent="0.3">
      <c r="C16" s="33">
        <v>46113</v>
      </c>
      <c r="D16" s="34" t="s">
        <v>84</v>
      </c>
      <c r="E16" s="34">
        <v>7000</v>
      </c>
    </row>
    <row r="17" spans="1:5" ht="16.5" x14ac:dyDescent="0.3">
      <c r="C17" s="33"/>
      <c r="D17" s="34"/>
      <c r="E17" s="34"/>
    </row>
    <row r="18" spans="1:5" ht="16.5" x14ac:dyDescent="0.3">
      <c r="C18" s="33"/>
      <c r="D18" s="34"/>
      <c r="E18" s="34"/>
    </row>
    <row r="19" spans="1:5" ht="16.5" x14ac:dyDescent="0.3">
      <c r="C19" s="33"/>
      <c r="D19" s="34"/>
      <c r="E19" s="34"/>
    </row>
    <row r="20" spans="1:5" ht="16.5" x14ac:dyDescent="0.3">
      <c r="C20" s="33"/>
      <c r="D20" s="34"/>
      <c r="E20" s="34"/>
    </row>
    <row r="21" spans="1:5" ht="16.5" x14ac:dyDescent="0.3">
      <c r="C21" s="33"/>
      <c r="D21" s="34"/>
      <c r="E21" s="34"/>
    </row>
    <row r="22" spans="1:5" ht="16.5" x14ac:dyDescent="0.3">
      <c r="C22" s="33"/>
      <c r="D22" s="34"/>
      <c r="E22" s="34"/>
    </row>
    <row r="23" spans="1:5" ht="16.5" x14ac:dyDescent="0.3">
      <c r="C23" s="33"/>
      <c r="D23" s="34"/>
      <c r="E23" s="34"/>
    </row>
    <row r="24" spans="1:5" ht="16.5" x14ac:dyDescent="0.3">
      <c r="C24" s="33"/>
      <c r="D24" s="34"/>
      <c r="E24" s="34"/>
    </row>
    <row r="25" spans="1:5" ht="16.5" x14ac:dyDescent="0.3">
      <c r="C25" s="33"/>
      <c r="D25" s="34"/>
      <c r="E25" s="34"/>
    </row>
    <row r="26" spans="1:5" ht="16.5" x14ac:dyDescent="0.3">
      <c r="C26" s="33"/>
      <c r="D26" s="34"/>
      <c r="E26" s="34"/>
    </row>
    <row r="27" spans="1:5" ht="16.5" x14ac:dyDescent="0.3">
      <c r="C27" s="33"/>
      <c r="D27" s="34"/>
      <c r="E27" s="34"/>
    </row>
    <row r="28" spans="1:5" ht="16.5" x14ac:dyDescent="0.3">
      <c r="C28" s="33"/>
      <c r="D28" s="34"/>
      <c r="E28" s="34"/>
    </row>
    <row r="29" spans="1:5" ht="16.5" x14ac:dyDescent="0.3">
      <c r="C29" s="33"/>
      <c r="D29" s="34"/>
      <c r="E29" s="34"/>
    </row>
    <row r="30" spans="1:5" x14ac:dyDescent="0.25"/>
    <row r="31" spans="1:5" ht="26.25" thickBot="1" x14ac:dyDescent="0.55000000000000004">
      <c r="D31" s="31" t="s">
        <v>91</v>
      </c>
      <c r="E31" s="32">
        <f>SUM(D36:D38)</f>
        <v>29500</v>
      </c>
    </row>
    <row r="32" spans="1:5" s="29" customFormat="1" ht="25.5" x14ac:dyDescent="0.5">
      <c r="A32" s="28"/>
      <c r="C32" s="30"/>
      <c r="E32" s="19"/>
    </row>
    <row r="33" spans="3:5" x14ac:dyDescent="0.25">
      <c r="E33"/>
    </row>
    <row r="34" spans="3:5" ht="26.25" thickBot="1" x14ac:dyDescent="0.55000000000000004">
      <c r="C34" s="26" t="s">
        <v>89</v>
      </c>
      <c r="D34" s="26"/>
    </row>
    <row r="35" spans="3:5" ht="18" thickTop="1" x14ac:dyDescent="0.3">
      <c r="C35" s="35" t="str">
        <f>Tabela3[[#Headers],[Categoria]]</f>
        <v>Categoria</v>
      </c>
      <c r="D35" s="22" t="s">
        <v>83</v>
      </c>
    </row>
    <row r="36" spans="3:5" ht="16.5" x14ac:dyDescent="0.3">
      <c r="C36" s="20" t="s">
        <v>85</v>
      </c>
      <c r="D36" s="21">
        <f>SUMIF(Tabela3[Categoria],C36,Tabela3[Valor])</f>
        <v>12500</v>
      </c>
    </row>
    <row r="37" spans="3:5" ht="16.5" x14ac:dyDescent="0.3">
      <c r="C37" s="20" t="s">
        <v>88</v>
      </c>
      <c r="D37" s="21">
        <f>SUMIF(Tabela3[Categoria],C37,Tabela3[Valor])</f>
        <v>4000</v>
      </c>
    </row>
    <row r="38" spans="3:5" ht="16.5" x14ac:dyDescent="0.3">
      <c r="C38" s="20" t="s">
        <v>90</v>
      </c>
      <c r="D38" s="21">
        <f>SUMIF(Tabela3[Categoria],C38,Tabela3[Valor])</f>
        <v>13000</v>
      </c>
    </row>
    <row r="39" spans="3:5" x14ac:dyDescent="0.25"/>
    <row r="40" spans="3:5" ht="15.75" customHeight="1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</sheetData>
  <sheetProtection sheet="1" objects="1" selectLockedCells="1" autoFilter="0"/>
  <autoFilter ref="C35:C38" xr:uid="{6275313D-0188-4FE8-9F82-B158E6145C27}"/>
  <mergeCells count="3">
    <mergeCell ref="C4:E4"/>
    <mergeCell ref="C8:E8"/>
    <mergeCell ref="C34:D34"/>
  </mergeCells>
  <dataValidations count="2">
    <dataValidation type="date" operator="lessThanOrEqual" allowBlank="1" showInputMessage="1" showErrorMessage="1" sqref="C10:C29" xr:uid="{2891CF77-28E5-4296-ADB5-4AA177B541CB}">
      <formula1>46296</formula1>
    </dataValidation>
    <dataValidation type="list" allowBlank="1" showInputMessage="1" showErrorMessage="1" sqref="D10:D29" xr:uid="{8BCE370D-DA36-4816-9DB1-8C29F027619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1980-19AE-4741-9A87-EED75BBD62FF}">
  <dimension ref="A1:C51"/>
  <sheetViews>
    <sheetView workbookViewId="0">
      <selection activeCell="C4" sqref="C4"/>
    </sheetView>
  </sheetViews>
  <sheetFormatPr defaultRowHeight="15" x14ac:dyDescent="0.25"/>
  <cols>
    <col min="1" max="1" width="39" bestFit="1" customWidth="1"/>
  </cols>
  <sheetData>
    <row r="1" spans="1:3" x14ac:dyDescent="0.25">
      <c r="A1" t="s">
        <v>73</v>
      </c>
    </row>
    <row r="2" spans="1:3" x14ac:dyDescent="0.25">
      <c r="A2" t="s">
        <v>23</v>
      </c>
    </row>
    <row r="3" spans="1:3" x14ac:dyDescent="0.25">
      <c r="A3" t="s">
        <v>24</v>
      </c>
    </row>
    <row r="4" spans="1:3" x14ac:dyDescent="0.25">
      <c r="A4" t="s">
        <v>25</v>
      </c>
      <c r="C4" s="8"/>
    </row>
    <row r="5" spans="1:3" x14ac:dyDescent="0.25">
      <c r="A5" t="s">
        <v>26</v>
      </c>
    </row>
    <row r="6" spans="1:3" x14ac:dyDescent="0.25">
      <c r="A6" t="s">
        <v>27</v>
      </c>
    </row>
    <row r="7" spans="1:3" x14ac:dyDescent="0.25">
      <c r="A7" t="s">
        <v>28</v>
      </c>
    </row>
    <row r="8" spans="1:3" x14ac:dyDescent="0.25">
      <c r="A8" t="s">
        <v>29</v>
      </c>
    </row>
    <row r="9" spans="1:3" x14ac:dyDescent="0.25">
      <c r="A9" t="s">
        <v>30</v>
      </c>
    </row>
    <row r="10" spans="1:3" x14ac:dyDescent="0.25">
      <c r="A10" t="s">
        <v>31</v>
      </c>
    </row>
    <row r="11" spans="1:3" x14ac:dyDescent="0.25">
      <c r="A11" t="s">
        <v>32</v>
      </c>
    </row>
    <row r="12" spans="1:3" x14ac:dyDescent="0.25">
      <c r="A12" t="s">
        <v>33</v>
      </c>
    </row>
    <row r="13" spans="1:3" x14ac:dyDescent="0.25">
      <c r="A13" t="s">
        <v>34</v>
      </c>
    </row>
    <row r="14" spans="1:3" x14ac:dyDescent="0.25">
      <c r="A14" t="s">
        <v>35</v>
      </c>
    </row>
    <row r="15" spans="1:3" x14ac:dyDescent="0.25">
      <c r="A15" t="s">
        <v>36</v>
      </c>
    </row>
    <row r="16" spans="1:3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Peres</dc:creator>
  <cp:lastModifiedBy>Lucas Peres</cp:lastModifiedBy>
  <dcterms:created xsi:type="dcterms:W3CDTF">2026-10-01T10:09:37Z</dcterms:created>
  <dcterms:modified xsi:type="dcterms:W3CDTF">2026-10-02T10:27:34Z</dcterms:modified>
</cp:coreProperties>
</file>